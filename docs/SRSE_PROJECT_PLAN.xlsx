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Reference for row 34" sheetId="2" state="visible" r:id="rId2"/>
    <sheet xmlns:r="http://schemas.openxmlformats.org/officeDocument/2006/relationships" name="Overall comple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2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9" fontId="2" fillId="0" borderId="0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8" customWidth="1" min="4" max="4"/>
    <col width="20" customWidth="1" min="5" max="5"/>
    <col width="52" customWidth="1" min="6" max="6"/>
  </cols>
  <sheetData>
    <row r="1">
      <c r="A1" s="1" t="inlineStr">
        <is>
          <t>S. No.</t>
        </is>
      </c>
      <c r="B1" s="1" t="inlineStr">
        <is>
          <t>Activity</t>
        </is>
      </c>
      <c r="C1" s="1" t="inlineStr">
        <is>
          <t>% Completed</t>
        </is>
      </c>
      <c r="D1" s="1" t="inlineStr">
        <is>
          <t>Dependency</t>
        </is>
      </c>
      <c r="E1" s="1" t="inlineStr">
        <is>
          <t>Target Completion Date</t>
        </is>
      </c>
      <c r="F1" s="1" t="inlineStr">
        <is>
          <t>Remarks</t>
        </is>
      </c>
    </row>
    <row r="2">
      <c r="A2" s="2" t="n">
        <v>1</v>
      </c>
      <c r="B2" s="3" t="inlineStr">
        <is>
          <t>Business Requirement Document (BRD)</t>
        </is>
      </c>
      <c r="C2" s="4" t="n">
        <v>0.95</v>
      </c>
      <c r="D2" s="3" t="inlineStr">
        <is>
          <t>SMART programme inputs</t>
        </is>
      </c>
      <c r="E2" s="2" t="inlineStr"/>
      <c r="F2" s="3" t="inlineStr">
        <is>
          <t>docs/SRSE_BRD.docx v1.1 — stakeholder narrative, workflow prose, config backup §10; aligned with TDD v1.2. Pending sign-off.</t>
        </is>
      </c>
    </row>
    <row r="3">
      <c r="A3" s="2" t="n">
        <v>2</v>
      </c>
      <c r="B3" s="3" t="inlineStr">
        <is>
          <t>Design Document</t>
        </is>
      </c>
      <c r="C3" s="4" t="n">
        <v>0.98</v>
      </c>
      <c r="D3" s="3" t="inlineStr">
        <is>
          <t>1</t>
        </is>
      </c>
      <c r="E3" s="2" t="inlineStr"/>
      <c r="F3" s="3" t="inlineStr">
        <is>
          <t>docs/SRSE_Technical_Design_Document.docx v1.2 — stakeholder overview, service catalog, JSON config, Analysis engine; PPT Part B.</t>
        </is>
      </c>
    </row>
    <row r="4">
      <c r="A4" s="2" t="n">
        <v>3</v>
      </c>
      <c r="B4" s="3" t="inlineStr">
        <is>
          <t>Platform scaffold</t>
        </is>
      </c>
      <c r="C4" s="4" t="n">
        <v>1</v>
      </c>
      <c r="D4" s="3" t="inlineStr">
        <is>
          <t>2</t>
        </is>
      </c>
      <c r="E4" s="2" t="inlineStr"/>
      <c r="F4" s="3" t="inlineStr">
        <is>
          <t>Docker Compose, DB2 (operational) + Presto (analytical), and DATA_MODE synthetic/live switch proving both planes connect.</t>
        </is>
      </c>
    </row>
    <row r="5">
      <c r="A5" s="2" t="n">
        <v>4</v>
      </c>
      <c r="B5" s="3" t="inlineStr">
        <is>
          <t>Rule Engine</t>
        </is>
      </c>
      <c r="C5" s="4" t="n">
        <v>0.95</v>
      </c>
      <c r="D5" s="3" t="inlineStr">
        <is>
          <t>3</t>
        </is>
      </c>
      <c r="E5" s="2" t="inlineStr"/>
      <c r="F5" s="3" t="inlineStr">
        <is>
          <t>DMN-shaped AST, SQL compiler with bound parameters only, unit-tested; maps officer fields to physical columns via metadata.</t>
        </is>
      </c>
    </row>
    <row r="6">
      <c r="A6" s="2" t="n">
        <v>5</v>
      </c>
      <c r="B6" s="3" t="inlineStr">
        <is>
          <t>Execution service</t>
        </is>
      </c>
      <c r="C6" s="4" t="n">
        <v>0.9</v>
      </c>
      <c r="D6" s="3" t="inlineStr">
        <is>
          <t>4</t>
        </is>
      </c>
      <c r="E6" s="2" t="inlineStr"/>
      <c r="F6" s="3" t="inlineStr">
        <is>
          <t>Push-down count/breakdown/cohort against Presto; query timeout, aggregate-only results, fixed breakdown dimensions, cohort hard cap.</t>
        </is>
      </c>
    </row>
    <row r="7">
      <c r="A7" s="2" t="n">
        <v>6</v>
      </c>
      <c r="B7" s="3" t="inlineStr">
        <is>
          <t>Metadata &amp; mapping</t>
        </is>
      </c>
      <c r="C7" s="4" t="n">
        <v>0.9</v>
      </c>
      <c r="D7" s="3" t="inlineStr">
        <is>
          <t>3</t>
        </is>
      </c>
      <c r="E7" s="2" t="inlineStr"/>
      <c r="F7" s="3" t="inlineStr">
        <is>
          <t>Field catalogue and per-mode column mappings in DB2; admin editor; Caffeine-cached resolver for rule and preview paths.</t>
        </is>
      </c>
    </row>
    <row r="8">
      <c r="A8" s="2" t="n">
        <v>7</v>
      </c>
      <c r="B8" s="3" t="inlineStr">
        <is>
          <t>Lakehouse registry &amp; Analysis metadata</t>
        </is>
      </c>
      <c r="C8" s="4" t="n">
        <v>0.9</v>
      </c>
      <c r="D8" s="3" t="inlineStr">
        <is>
          <t>6</t>
        </is>
      </c>
      <c r="E8" s="2" t="inlineStr"/>
      <c r="F8" s="3" t="inlineStr">
        <is>
          <t>Register Silver/Gold tables; live column introspection; compare-as and fuzzy flags for cross-type and name matching.</t>
        </is>
      </c>
    </row>
    <row r="9">
      <c r="A9" s="2" t="n">
        <v>8</v>
      </c>
      <c r="B9" s="3" t="inlineStr">
        <is>
          <t>Officer Rules UI</t>
        </is>
      </c>
      <c r="C9" s="4" t="n">
        <v>0.85</v>
      </c>
      <c r="D9" s="3" t="inlineStr">
        <is>
          <t>4, 6</t>
        </is>
      </c>
      <c r="E9" s="2" t="inlineStr"/>
      <c r="F9" s="3" t="inlineStr">
        <is>
          <t>Rule builder, threshold sliders/selects, simulation results, district/gender/age breakdown tables and charts (e.g. Ekal Naari).</t>
        </is>
      </c>
    </row>
    <row r="10">
      <c r="A10" s="2" t="n">
        <v>9</v>
      </c>
      <c r="B10" s="3" t="inlineStr">
        <is>
          <t>Scenario store &amp; comparison</t>
        </is>
      </c>
      <c r="C10" s="4" t="n">
        <v>0.75</v>
      </c>
      <c r="D10" s="3" t="inlineStr">
        <is>
          <t>4, 8</t>
        </is>
      </c>
      <c r="E10" s="2" t="inlineStr"/>
      <c r="F10" s="3" t="inlineStr">
        <is>
          <t>Save ruleset + result snapshots; load and pairwise compare breakdown deltas when thresholds change.</t>
        </is>
      </c>
    </row>
    <row r="11">
      <c r="A11" s="2" t="n">
        <v>10</v>
      </c>
      <c r="B11" s="3" t="inlineStr">
        <is>
          <t>Cohort drill-down API</t>
        </is>
      </c>
      <c r="C11" s="4" t="n">
        <v>0.8</v>
      </c>
      <c r="D11" s="3" t="inlineStr">
        <is>
          <t>5</t>
        </is>
      </c>
      <c r="E11" s="2" t="inlineStr"/>
      <c r="F11" s="3" t="inlineStr">
        <is>
          <t>Row-level sample endpoint with server-enforced cap; reports truncation so samples are not mistaken for full cohorts.</t>
        </is>
      </c>
    </row>
    <row r="12">
      <c r="A12" s="2" t="n">
        <v>11</v>
      </c>
      <c r="B12" s="3" t="inlineStr">
        <is>
          <t>Cohort drill-down UI</t>
        </is>
      </c>
      <c r="C12" s="4" t="n">
        <v>0.4</v>
      </c>
      <c r="D12" s="3" t="inlineStr">
        <is>
          <t>10</t>
        </is>
      </c>
      <c r="E12" s="2" t="inlineStr"/>
      <c r="F12" s="3" t="inlineStr">
        <is>
          <t>Officer-facing drill-down from simulation results; API exists; UI wiring and UX still limited.</t>
        </is>
      </c>
    </row>
    <row r="13">
      <c r="A13" s="2" t="n">
        <v>12</v>
      </c>
      <c r="B13" s="3" t="inlineStr">
        <is>
          <t>Analysis: single-table match</t>
        </is>
      </c>
      <c r="C13" s="4" t="n">
        <v>1</v>
      </c>
      <c r="D13" s="3" t="inlineStr">
        <is>
          <t>7</t>
        </is>
      </c>
      <c r="E13" s="2" t="inlineStr"/>
      <c r="F13" s="3" t="inlineStr">
        <is>
          <t>Two-table join on registered columns; exact/fuzzy match; NDJSON stream and full CSV download from Presto.</t>
        </is>
      </c>
    </row>
    <row r="14">
      <c r="A14" s="2" t="n">
        <v>13</v>
      </c>
      <c r="B14" s="3" t="inlineStr">
        <is>
          <t>Analysis: display-only columns</t>
        </is>
      </c>
      <c r="C14" s="4" t="n">
        <v>1</v>
      </c>
      <c r="D14" s="3" t="inlineStr">
        <is>
          <t>12</t>
        </is>
      </c>
      <c r="E14" s="2" t="inlineStr"/>
      <c r="F14" s="3" t="inlineStr">
        <is>
          <t>Extra columns in result grid only—not used in join keys—so officers see context without changing match logic.</t>
        </is>
      </c>
    </row>
    <row r="15">
      <c r="A15" s="2" t="n">
        <v>14</v>
      </c>
      <c r="B15" s="3" t="inlineStr">
        <is>
          <t>Analysis: multi-target hub match</t>
        </is>
      </c>
      <c r="C15" s="4" t="n">
        <v>1</v>
      </c>
      <c r="D15" s="3" t="inlineStr">
        <is>
          <t>13</t>
        </is>
      </c>
      <c r="E15" s="2" t="inlineStr"/>
      <c r="F15" s="3" t="inlineStr">
        <is>
          <t>One hub vs N targets (separate joins); progress events; time budget; partial failure per target; CSV all-or-nothing.</t>
        </is>
      </c>
    </row>
    <row r="16">
      <c r="A16" s="2" t="n">
        <v>15</v>
      </c>
      <c r="B16" s="3" t="inlineStr">
        <is>
          <t>Analysis: column groups (COMBINE / ANY_OF)</t>
        </is>
      </c>
      <c r="C16" s="4" t="n">
        <v>0.95</v>
      </c>
      <c r="D16" s="3" t="inlineStr">
        <is>
          <t>13</t>
        </is>
      </c>
      <c r="E16" s="2" t="inlineStr"/>
      <c r="F16" s="3" t="inlineStr">
        <is>
          <t>Multi-column criteria, name folding, UNNEST-based ANY_OF; SQL checked against Presto 0.297 parser in tests.</t>
        </is>
      </c>
    </row>
    <row r="17">
      <c r="A17" s="2" t="n">
        <v>16</v>
      </c>
      <c r="B17" s="3" t="inlineStr">
        <is>
          <t>Analysis: manual E2E on Presto</t>
        </is>
      </c>
      <c r="C17" s="4" t="n">
        <v>0.8</v>
      </c>
      <c r="D17" s="3" t="inlineStr">
        <is>
          <t>15</t>
        </is>
      </c>
      <c r="E17" s="2" t="inlineStr"/>
      <c r="F17" s="3" t="inlineStr">
        <is>
          <t>Container-based cross-catalog runs when match SQL changes; not fully automated in CI.</t>
        </is>
      </c>
    </row>
    <row r="18">
      <c r="A18" s="2" t="n">
        <v>17</v>
      </c>
      <c r="B18" s="3" t="inlineStr">
        <is>
          <t>Admin (lakehouse, mapping, backup)</t>
        </is>
      </c>
      <c r="C18" s="4" t="n">
        <v>0.95</v>
      </c>
      <c r="D18" s="3" t="inlineStr">
        <is>
          <t>6, 7</t>
        </is>
      </c>
      <c r="E18" s="2" t="inlineStr"/>
      <c r="F18" s="3" t="inlineStr">
        <is>
          <t>Table registration, field mapping editor, scheme settings, JSON export/import for operational config backup.</t>
        </is>
      </c>
    </row>
    <row r="19">
      <c r="A19" s="2" t="n">
        <v>18</v>
      </c>
      <c r="B19" s="3" t="inlineStr">
        <is>
          <t>Configuration files</t>
        </is>
      </c>
      <c r="C19" s="4" t="n">
        <v>0.88</v>
      </c>
      <c r="D19" s="3" t="inlineStr">
        <is>
          <t>3</t>
        </is>
      </c>
      <c r="E19" s="2" t="inlineStr"/>
      <c r="F19" s="3" t="inlineStr">
        <is>
          <t>Runtime config: application.yml, Spring profiles, guardrail/analysis properties, JDBC URLs, DATA_MODE and auth mode; docker-compose.yml and client-dev overrides; env-var catalogue for deploy.</t>
        </is>
      </c>
    </row>
    <row r="20">
      <c r="A20" s="2" t="n">
        <v>19</v>
      </c>
      <c r="B20" s="3" t="inlineStr">
        <is>
          <t>Configuration guide (documentation)</t>
        </is>
      </c>
      <c r="C20" s="4" t="n">
        <v>0.85</v>
      </c>
      <c r="D20" s="3" t="inlineStr">
        <is>
          <t>18</t>
        </is>
      </c>
      <c r="E20" s="2" t="inlineStr"/>
      <c r="F20" s="3" t="inlineStr">
        <is>
          <t>Human-readable ops doc: what each setting does, local vs client-dev values, troubleshooting (CONFIGURATION_GUIDE).</t>
        </is>
      </c>
    </row>
    <row r="21">
      <c r="A21" s="2" t="n">
        <v>20</v>
      </c>
      <c r="B21" s="3" t="inlineStr">
        <is>
          <t>Code quality (SonarQube)</t>
        </is>
      </c>
      <c r="C21" s="4" t="n">
        <v>1</v>
      </c>
      <c r="D21" s="3" t="inlineStr">
        <is>
          <t>—</t>
        </is>
      </c>
      <c r="E21" s="2" t="inlineStr"/>
      <c r="F21" s="3" t="inlineStr">
        <is>
          <t>Java and TypeScript issues addressed for maintainability and CI quality gate.</t>
        </is>
      </c>
    </row>
    <row r="22">
      <c r="A22" s="2" t="n">
        <v>21</v>
      </c>
      <c r="B22" s="3" t="inlineStr">
        <is>
          <t>Frontend lint cleanup</t>
        </is>
      </c>
      <c r="C22" s="4" t="n">
        <v>0.3</v>
      </c>
      <c r="D22" s="3" t="inlineStr">
        <is>
          <t>—</t>
        </is>
      </c>
      <c r="E22" s="2" t="inlineStr"/>
      <c r="F22" s="3" t="inlineStr">
        <is>
          <t>Remaining ESLint errors in legacy components outside Analysis; build passes but lint debt remains.</t>
        </is>
      </c>
    </row>
    <row r="23">
      <c r="A23" s="2" t="n">
        <v>22</v>
      </c>
      <c r="B23" s="3" t="inlineStr">
        <is>
          <t>Test cases</t>
        </is>
      </c>
      <c r="C23" s="4" t="n">
        <v>0.85</v>
      </c>
      <c r="D23" s="3" t="inlineStr">
        <is>
          <t>4–16</t>
        </is>
      </c>
      <c r="E23" s="2" t="inlineStr"/>
      <c r="F23" s="3" t="inlineStr">
        <is>
          <t>docs/SRSE_Test_Cases.xlsx — 40 SIT/UAT cases with BRD/TDD traceability; automated backend suite (~300+ unit/integration tests) separate.</t>
        </is>
      </c>
    </row>
    <row r="24">
      <c r="A24" s="2" t="n">
        <v>23</v>
      </c>
      <c r="B24" s="3" t="inlineStr">
        <is>
          <t>SIT</t>
        </is>
      </c>
      <c r="C24" s="4" t="n">
        <v>0.25</v>
      </c>
      <c r="D24" s="3" t="inlineStr">
        <is>
          <t>22, 25–27</t>
        </is>
      </c>
      <c r="E24" s="2" t="inlineStr"/>
      <c r="F24" s="3" t="inlineStr">
        <is>
          <t>End-to-end integration on synthetic stack and client-dev Presto/DB2: rules, Analysis, admin, auth seams.</t>
        </is>
      </c>
    </row>
    <row r="25">
      <c r="A25" s="2" t="n">
        <v>24</v>
      </c>
      <c r="B25" s="3" t="inlineStr">
        <is>
          <t>Client Dev profile</t>
        </is>
      </c>
      <c r="C25" s="4" t="n">
        <v>0.7</v>
      </c>
      <c r="D25" s="3" t="inlineStr">
        <is>
          <t>3, 18</t>
        </is>
      </c>
      <c r="E25" s="2" t="inlineStr"/>
      <c r="F25" s="3" t="inlineStr">
        <is>
          <t>Compose profile and settings to point at on-prem lakehouse and DB2; verified in slices; full stack boot sign-off pending.</t>
        </is>
      </c>
    </row>
    <row r="26">
      <c r="A26" s="2" t="n">
        <v>25</v>
      </c>
      <c r="B26" s="3" t="inlineStr">
        <is>
          <t>Presto JDBC confirmation</t>
        </is>
      </c>
      <c r="C26" s="4" t="n">
        <v>0</v>
      </c>
      <c r="D26" s="3" t="inlineStr">
        <is>
          <t>Lovadeep / IBM</t>
        </is>
      </c>
      <c r="E26" s="2" t="inlineStr"/>
      <c r="F26" s="3" t="inlineStr">
        <is>
          <t>Confirm PrestoDB (not Trino) driver coordinates for watsonx.data 2.3.1 against live endpoint.</t>
        </is>
      </c>
    </row>
    <row r="27">
      <c r="A27" s="2" t="n">
        <v>26</v>
      </c>
      <c r="B27" s="3" t="inlineStr">
        <is>
          <t>Golden Layer naming &amp; mappings</t>
        </is>
      </c>
      <c r="C27" s="4" t="n">
        <v>0.3</v>
      </c>
      <c r="D27" s="3" t="inlineStr">
        <is>
          <t>Lovadeep / DBA</t>
        </is>
      </c>
      <c r="E27" s="2" t="inlineStr"/>
      <c r="F27" s="3" t="inlineStr">
        <is>
          <t>Replace placeholders with real catalog.schema.table.column bindings for LIVE mode.</t>
        </is>
      </c>
    </row>
    <row r="28">
      <c r="A28" s="2" t="n">
        <v>27</v>
      </c>
      <c r="B28" s="3" t="inlineStr">
        <is>
          <t>SRSE DB2 placement</t>
        </is>
      </c>
      <c r="C28" s="4" t="n">
        <v>0.5</v>
      </c>
      <c r="D28" s="3" t="inlineStr">
        <is>
          <t>Lovadeep</t>
        </is>
      </c>
      <c r="E28" s="2" t="inlineStr"/>
      <c r="F28" s="3" t="inlineStr">
        <is>
          <t>Final decision on operational schema/instance for SRSE-owned JPA entities.</t>
        </is>
      </c>
    </row>
    <row r="29">
      <c r="A29" s="2" t="n">
        <v>28</v>
      </c>
      <c r="B29" s="3" t="inlineStr">
        <is>
          <t>Derived fields (REL-01, etc.)</t>
        </is>
      </c>
      <c r="C29" s="4" t="n">
        <v>0.4</v>
      </c>
      <c r="D29" s="3" t="inlineStr">
        <is>
          <t>Lovadeep / data eng.</t>
        </is>
      </c>
      <c r="E29" s="2" t="inlineStr"/>
      <c r="F29" s="3" t="inlineStr">
        <is>
          <t>Confirm Tier-3 fields pre-materialised upstream (e.g. income 3-yr avg) before officers map them.</t>
        </is>
      </c>
    </row>
    <row r="30">
      <c r="A30" s="2" t="n">
        <v>29</v>
      </c>
      <c r="B30" s="3" t="inlineStr">
        <is>
          <t>Live lakehouse seed &amp; validation</t>
        </is>
      </c>
      <c r="C30" s="4" t="n">
        <v>0.4</v>
      </c>
      <c r="D30" s="3" t="inlineStr">
        <is>
          <t>26, 28</t>
        </is>
      </c>
      <c r="E30" s="2" t="inlineStr"/>
      <c r="F30" s="3" t="inlineStr">
        <is>
          <t>Register production tables, complete mappings, run representative scheme simulations on live data.</t>
        </is>
      </c>
    </row>
    <row r="31">
      <c r="A31" s="2" t="n">
        <v>30</v>
      </c>
      <c r="B31" s="3" t="inlineStr">
        <is>
          <t>Auth (RajSewadwar SSO)</t>
        </is>
      </c>
      <c r="C31" s="4" t="n">
        <v>0.2</v>
      </c>
      <c r="D31" s="3" t="inlineStr">
        <is>
          <t>Arvind</t>
        </is>
      </c>
      <c r="E31" s="2" t="inlineStr"/>
      <c r="F31" s="3" t="inlineStr">
        <is>
          <t>Mock JWT and STATE_OFFICER gate locally; production SSO payload parsing still stubbed, fails closed.</t>
        </is>
      </c>
    </row>
    <row r="32">
      <c r="A32" s="2" t="n">
        <v>31</v>
      </c>
      <c r="B32" s="3" t="inlineStr">
        <is>
          <t>Security review</t>
        </is>
      </c>
      <c r="C32" s="4" t="n">
        <v>0</v>
      </c>
      <c r="D32" s="3" t="inlineStr">
        <is>
          <t>24, 30</t>
        </is>
      </c>
      <c r="E32" s="2" t="inlineStr"/>
      <c r="F32" s="3" t="inlineStr">
        <is>
          <t>Client-environment review of auth, injection controls, and deployment surface.</t>
        </is>
      </c>
    </row>
    <row r="33">
      <c r="A33" s="2" t="n">
        <v>32</v>
      </c>
      <c r="B33" s="3" t="inlineStr">
        <is>
          <t>UAT</t>
        </is>
      </c>
      <c r="C33" s="4" t="n">
        <v>0</v>
      </c>
      <c r="D33" s="3" t="inlineStr">
        <is>
          <t>23, 29, 30</t>
        </is>
      </c>
      <c r="E33" s="2" t="inlineStr"/>
      <c r="F33" s="3" t="inlineStr">
        <is>
          <t>Departmental officers validate rules and Analysis workflows against agreed test cases.</t>
        </is>
      </c>
    </row>
    <row r="34">
      <c r="A34" s="2" t="n">
        <v>33</v>
      </c>
      <c r="B34" s="3" t="inlineStr">
        <is>
          <t>Deployment</t>
        </is>
      </c>
      <c r="C34" s="4" t="n">
        <v>0.6</v>
      </c>
      <c r="D34" s="3" t="inlineStr">
        <is>
          <t>23, 24</t>
        </is>
      </c>
      <c r="E34" s="2" t="inlineStr"/>
      <c r="F34" s="3" t="inlineStr">
        <is>
          <t>Two-container packaging, install steps, smoke checks, runbooks; production monitoring hooks TBD.</t>
        </is>
      </c>
    </row>
    <row r="35">
      <c r="A35" s="2" t="n">
        <v>34</v>
      </c>
      <c r="B35" s="3" t="inlineStr">
        <is>
          <t>Services inventory</t>
        </is>
      </c>
      <c r="C35" s="4" t="n">
        <v>0.75</v>
      </c>
      <c r="D35" s="3" t="inlineStr">
        <is>
          <t>2</t>
        </is>
      </c>
      <c r="E35" s="2" t="inlineStr"/>
      <c r="F35" s="3" t="inlineStr">
        <is>
          <t>Master list of REST capabilities and UI modules—developed vs planned—see Reference for row 34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52" customWidth="1" min="3" max="3"/>
  </cols>
  <sheetData>
    <row r="1">
      <c r="A1" s="1" t="inlineStr">
        <is>
          <t>Service / capability</t>
        </is>
      </c>
      <c r="B1" s="1" t="inlineStr">
        <is>
          <t>Status</t>
        </is>
      </c>
      <c r="C1" s="1" t="inlineStr">
        <is>
          <t>Primary API / surface</t>
        </is>
      </c>
    </row>
    <row r="2">
      <c r="A2" s="3" t="inlineStr">
        <is>
          <t>Health &amp; connectivity</t>
        </is>
      </c>
      <c r="B2" s="2" t="inlineStr">
        <is>
          <t>Developed</t>
        </is>
      </c>
      <c r="C2" s="3" t="inlineStr">
        <is>
          <t>HealthController, connection info/update</t>
        </is>
      </c>
    </row>
    <row r="3">
      <c r="A3" s="3" t="inlineStr">
        <is>
          <t>Decision / rules simulation</t>
        </is>
      </c>
      <c r="B3" s="2" t="inlineStr">
        <is>
          <t>Developed</t>
        </is>
      </c>
      <c r="C3" s="3" t="inlineStr">
        <is>
          <t>/api/decision/**</t>
        </is>
      </c>
    </row>
    <row r="4">
      <c r="A4" s="3" t="inlineStr">
        <is>
          <t>Presto execution</t>
        </is>
      </c>
      <c r="B4" s="2" t="inlineStr">
        <is>
          <t>Developed</t>
        </is>
      </c>
      <c r="C4" s="3" t="inlineStr">
        <is>
          <t>Count, breakdown, cohort (via decision layer)</t>
        </is>
      </c>
    </row>
    <row r="5">
      <c r="A5" s="3" t="inlineStr">
        <is>
          <t>Field catalogue &amp; mapping</t>
        </is>
      </c>
      <c r="B5" s="2" t="inlineStr">
        <is>
          <t>Developed</t>
        </is>
      </c>
      <c r="C5" s="3" t="inlineStr">
        <is>
          <t>FieldCatalogController, FieldColumnMappingController</t>
        </is>
      </c>
    </row>
    <row r="6">
      <c r="A6" s="3" t="inlineStr">
        <is>
          <t>Scheme configuration</t>
        </is>
      </c>
      <c r="B6" s="2" t="inlineStr">
        <is>
          <t>Developed</t>
        </is>
      </c>
      <c r="C6" s="3" t="inlineStr">
        <is>
          <t>SchemeController</t>
        </is>
      </c>
    </row>
    <row r="7">
      <c r="A7" s="3" t="inlineStr">
        <is>
          <t>Scenario store &amp; compare</t>
        </is>
      </c>
      <c r="B7" s="2" t="inlineStr">
        <is>
          <t>Developed</t>
        </is>
      </c>
      <c r="C7" s="3" t="inlineStr">
        <is>
          <t>Scenario APIs under decision</t>
        </is>
      </c>
    </row>
    <row r="8">
      <c r="A8" s="3" t="inlineStr">
        <is>
          <t>Lakehouse admin &amp; browse</t>
        </is>
      </c>
      <c r="B8" s="2" t="inlineStr">
        <is>
          <t>Developed</t>
        </is>
      </c>
      <c r="C8" s="3" t="inlineStr">
        <is>
          <t>LakehouseAdminController, LakehouseCatalogController</t>
        </is>
      </c>
    </row>
    <row r="9">
      <c r="A9" s="3" t="inlineStr">
        <is>
          <t>Analysis column metadata</t>
        </is>
      </c>
      <c r="B9" s="2" t="inlineStr">
        <is>
          <t>Developed</t>
        </is>
      </c>
      <c r="C9" s="3" t="inlineStr">
        <is>
          <t>AnalysisColumnMetadataController</t>
        </is>
      </c>
    </row>
    <row r="10">
      <c r="A10" s="3" t="inlineStr">
        <is>
          <t>Record match / Analysis</t>
        </is>
      </c>
      <c r="B10" s="2" t="inlineStr">
        <is>
          <t>Developed</t>
        </is>
      </c>
      <c r="C10" s="3" t="inlineStr">
        <is>
          <t>RecordMatchController (single + multi, CSV)</t>
        </is>
      </c>
    </row>
    <row r="11">
      <c r="A11" s="3" t="inlineStr">
        <is>
          <t>Admin config backup</t>
        </is>
      </c>
      <c r="B11" s="2" t="inlineStr">
        <is>
          <t>Developed</t>
        </is>
      </c>
      <c r="C11" s="3" t="inlineStr">
        <is>
          <t>AdminConfigController</t>
        </is>
      </c>
    </row>
    <row r="12">
      <c r="A12" s="3" t="inlineStr">
        <is>
          <t>Officer UI</t>
        </is>
      </c>
      <c r="B12" s="2" t="inlineStr">
        <is>
          <t>Developed (partial cohort UI)</t>
        </is>
      </c>
      <c r="C12" s="3" t="inlineStr">
        <is>
          <t>Next.js frontend container</t>
        </is>
      </c>
    </row>
    <row r="13">
      <c r="A13" s="3" t="inlineStr">
        <is>
          <t>RajSewadwar SSO</t>
        </is>
      </c>
      <c r="B13" s="2" t="inlineStr">
        <is>
          <t>To be developed</t>
        </is>
      </c>
      <c r="C13" s="3" t="inlineStr">
        <is>
          <t>Production auth</t>
        </is>
      </c>
    </row>
    <row r="14">
      <c r="A14" s="3" t="inlineStr">
        <is>
          <t>Live Golden Layer catalogue</t>
        </is>
      </c>
      <c r="B14" s="2" t="inlineStr">
        <is>
          <t>To be developed</t>
        </is>
      </c>
      <c r="C14" s="3" t="inlineStr">
        <is>
          <t>Depends on DBA inputs</t>
        </is>
      </c>
    </row>
    <row r="15">
      <c r="A15" s="3" t="inlineStr">
        <is>
          <t>Formal SIT sign-off pack</t>
        </is>
      </c>
      <c r="B15" s="2" t="inlineStr">
        <is>
          <t>To be developed</t>
        </is>
      </c>
      <c r="C15" s="3" t="inlineStr">
        <is>
          <t>Row 23 on Project Plan</t>
        </is>
      </c>
    </row>
    <row r="16">
      <c r="A16" s="3" t="inlineStr">
        <is>
          <t>Production handover</t>
        </is>
      </c>
      <c r="B16" s="2" t="inlineStr">
        <is>
          <t>To be developed</t>
        </is>
      </c>
      <c r="C16" s="3" t="inlineStr">
        <is>
          <t>Row 33 on Project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Overall % completed (simple average of all activities)</t>
        </is>
      </c>
      <c r="B2" s="5">
        <f>AVERAGE('Project Plan'!C2:C35)</f>
        <v/>
      </c>
    </row>
    <row r="4">
      <c r="A4" s="2" t="inlineStr">
        <is>
          <t>Activities counted</t>
        </is>
      </c>
      <c r="B4" s="2">
        <f>COUNT('Project Plan'!C2:C35)</f>
        <v/>
      </c>
    </row>
    <row r="5">
      <c r="A5" s="2" t="inlineStr">
        <is>
          <t>Note</t>
        </is>
      </c>
      <c r="B5" s="6" t="inlineStr">
        <is>
          <t>Unweighted mean of % Completed on Project Plan tab. Update activity rows to refresh.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2026-09-21T18:42:26Z</dcterms:created>
  <dcterms:modified xmlns:dcterms="http://purl.org/dc/terms/" xmlns:xsi="http://www.w3.org/2001/XMLSchema-instance" xsi:type="dcterms:W3CDTF">2026-09-21T18:42:26Z</dcterms:modified>
</cp:coreProperties>
</file>